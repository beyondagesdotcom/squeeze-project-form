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uke &amp; Aria Kerman" sheetId="2" state="visible" r:id="rId2"/>
    <sheet xmlns:r="http://schemas.openxmlformats.org/officeDocument/2006/relationships" name="Tessa Forman" sheetId="3" state="visible" r:id="rId3"/>
    <sheet xmlns:r="http://schemas.openxmlformats.org/officeDocument/2006/relationships" name="Ben &amp; Jack" sheetId="4" state="visible" r:id="rId4"/>
    <sheet xmlns:r="http://schemas.openxmlformats.org/officeDocument/2006/relationships" name="Jordana Brody" sheetId="5" state="visible" r:id="rId5"/>
    <sheet xmlns:r="http://schemas.openxmlformats.org/officeDocument/2006/relationships" name="Parker W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2"/>
    </font>
    <font>
      <color rgb="00999999"/>
      <sz val="9"/>
    </font>
    <font>
      <b val="1"/>
      <sz val="10"/>
    </font>
    <font>
      <b val="1"/>
    </font>
    <font>
      <b val="1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AAAAAA"/>
      </top>
    </border>
    <border>
      <bottom style="thin">
        <color rgb="00EEEE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4" fontId="4" fillId="0" borderId="0" pivotButton="0" quotePrefix="0" xfId="0"/>
    <xf numFmtId="9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0" fillId="0" borderId="2" pivotButton="0" quotePrefix="0" xfId="0"/>
    <xf numFmtId="164" fontId="0" fillId="0" borderId="2" pivotButton="0" quotePrefix="0" xfId="0"/>
    <xf numFmtId="0" fontId="6" fillId="0" borderId="0" pivotButton="0" quotePrefix="0" xfId="0"/>
    <xf numFmtId="164" fontId="6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 ht="22" customHeight="1">
      <c r="A1" s="1" t="inlineStr">
        <is>
          <t>The Squeeze Project — Donations</t>
        </is>
      </c>
    </row>
    <row r="2">
      <c r="A2" s="2" t="inlineStr">
        <is>
          <t>Fee rates: Venmo 1.9%+$0.10  ·  Stripe 2.9%+$0.30  ·  Check/Zelle free</t>
        </is>
      </c>
    </row>
    <row r="4">
      <c r="A4" s="3" t="inlineStr">
        <is>
          <t>Ambassador</t>
        </is>
      </c>
      <c r="B4" s="3" t="inlineStr">
        <is>
          <t>Camp</t>
        </is>
      </c>
      <c r="C4" s="3" t="inlineStr">
        <is>
          <t>Gross Raised</t>
        </is>
      </c>
      <c r="D4" s="3" t="inlineStr">
        <is>
          <t>Est. Fees</t>
        </is>
      </c>
      <c r="E4" s="3" t="inlineStr">
        <is>
          <t>Net Received</t>
        </is>
      </c>
      <c r="F4" s="3" t="inlineStr">
        <is>
          <t>Goal</t>
        </is>
      </c>
      <c r="G4" s="3" t="inlineStr">
        <is>
          <t>% to Goal</t>
        </is>
      </c>
    </row>
    <row r="5">
      <c r="A5" t="inlineStr">
        <is>
          <t>Luke &amp; Aria Kerman</t>
        </is>
      </c>
      <c r="B5" t="inlineStr">
        <is>
          <t>Camp IHC</t>
        </is>
      </c>
      <c r="C5" s="4">
        <f>'Luke &amp; Aria Kerman'!C13</f>
        <v/>
      </c>
      <c r="D5" s="4">
        <f>'Luke &amp; Aria Kerman'!E13</f>
        <v/>
      </c>
      <c r="E5" s="5">
        <f>'Luke &amp; Aria Kerman'!C15</f>
        <v/>
      </c>
      <c r="F5" s="4" t="n">
        <v>2250</v>
      </c>
      <c r="G5" s="6">
        <f>C5/F5</f>
        <v/>
      </c>
    </row>
    <row r="6">
      <c r="A6" t="inlineStr">
        <is>
          <t>Tessa Forman</t>
        </is>
      </c>
      <c r="B6" t="inlineStr">
        <is>
          <t>Camp Pontiac</t>
        </is>
      </c>
      <c r="C6" s="4">
        <f>'Tessa Forman'!C22</f>
        <v/>
      </c>
      <c r="D6" s="4">
        <f>'Tessa Forman'!E22</f>
        <v/>
      </c>
      <c r="E6" s="5">
        <f>'Tessa Forman'!C24</f>
        <v/>
      </c>
      <c r="F6" s="4" t="n">
        <v>2250</v>
      </c>
      <c r="G6" s="6">
        <f>C6/F6</f>
        <v/>
      </c>
    </row>
    <row r="7">
      <c r="A7" t="inlineStr">
        <is>
          <t>Ben &amp; Jack</t>
        </is>
      </c>
      <c r="B7" t="inlineStr">
        <is>
          <t>Camp Wah-Nee</t>
        </is>
      </c>
      <c r="C7" s="4">
        <f>'Ben &amp; Jack'!C26</f>
        <v/>
      </c>
      <c r="D7" s="4">
        <f>'Ben &amp; Jack'!E26</f>
        <v/>
      </c>
      <c r="E7" s="5">
        <f>'Ben &amp; Jack'!C28</f>
        <v/>
      </c>
      <c r="F7" s="4" t="n">
        <v>2250</v>
      </c>
      <c r="G7" s="6">
        <f>C7/F7</f>
        <v/>
      </c>
    </row>
    <row r="8">
      <c r="A8" t="inlineStr">
        <is>
          <t>Jordana Brody</t>
        </is>
      </c>
      <c r="B8" t="inlineStr">
        <is>
          <t>Camp Westmont</t>
        </is>
      </c>
      <c r="C8" s="4">
        <f>'Jordana Brody'!C15</f>
        <v/>
      </c>
      <c r="D8" s="4">
        <f>'Jordana Brody'!E15</f>
        <v/>
      </c>
      <c r="E8" s="5">
        <f>'Jordana Brody'!C17</f>
        <v/>
      </c>
      <c r="F8" s="4" t="n">
        <v>2250</v>
      </c>
      <c r="G8" s="6">
        <f>C8/F8</f>
        <v/>
      </c>
    </row>
    <row r="9">
      <c r="A9" t="inlineStr">
        <is>
          <t>Parker Wellen</t>
        </is>
      </c>
      <c r="B9" t="inlineStr">
        <is>
          <t>Camp Pontiac</t>
        </is>
      </c>
      <c r="C9" s="4">
        <f>'Parker Wellen'!C9</f>
        <v/>
      </c>
      <c r="D9" s="4">
        <f>'Parker Wellen'!E9</f>
        <v/>
      </c>
      <c r="E9" s="5">
        <f>'Parker Wellen'!C11</f>
        <v/>
      </c>
      <c r="F9" s="4" t="n">
        <v>2250</v>
      </c>
      <c r="G9" s="6">
        <f>C9/F9</f>
        <v/>
      </c>
    </row>
    <row r="11">
      <c r="A11" s="7" t="inlineStr">
        <is>
          <t>TOTAL</t>
        </is>
      </c>
      <c r="B11" s="8" t="n"/>
      <c r="C11" s="9">
        <f>SUM(C5:C9)</f>
        <v/>
      </c>
      <c r="D11" s="10">
        <f>SUM(D5:D9)</f>
        <v/>
      </c>
      <c r="E11" s="9">
        <f>SUM(E5:E9)</f>
        <v/>
      </c>
      <c r="F11" s="10" t="n">
        <v>11250</v>
      </c>
      <c r="G11" s="11">
        <f>C11/F11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2" customWidth="1" min="5" max="5"/>
  </cols>
  <sheetData>
    <row r="1" ht="20" customHeight="1">
      <c r="A1" s="12" t="inlineStr">
        <is>
          <t>Luke &amp; Aria Kerman — Camp IHC</t>
        </is>
      </c>
    </row>
    <row r="2">
      <c r="A2" s="2" t="inlineStr">
        <is>
          <t>Fees: Venmo 1.9%+$0.10  ·  Stripe 2.9%+$0.30  ·  Check/Zelle free</t>
        </is>
      </c>
    </row>
    <row r="4">
      <c r="A4" s="3" t="inlineStr">
        <is>
          <t>Date</t>
        </is>
      </c>
      <c r="B4" s="3" t="inlineStr">
        <is>
          <t>Donor</t>
        </is>
      </c>
      <c r="C4" s="3" t="inlineStr">
        <is>
          <t>Amount</t>
        </is>
      </c>
      <c r="D4" s="3" t="inlineStr">
        <is>
          <t>Platform</t>
        </is>
      </c>
      <c r="E4" s="3" t="inlineStr">
        <is>
          <t>Est. Fee</t>
        </is>
      </c>
    </row>
    <row r="5">
      <c r="A5" s="13" t="inlineStr">
        <is>
          <t>Mar 24</t>
        </is>
      </c>
      <c r="B5" s="13" t="inlineStr">
        <is>
          <t>jayson@license-2-play.com</t>
        </is>
      </c>
      <c r="C5" s="14" t="n">
        <v>500</v>
      </c>
      <c r="D5" s="13" t="inlineStr">
        <is>
          <t>Stripe</t>
        </is>
      </c>
      <c r="E5" s="14" t="n">
        <v>14.8</v>
      </c>
    </row>
    <row r="6">
      <c r="A6" s="13" t="inlineStr">
        <is>
          <t>Mar 24</t>
        </is>
      </c>
      <c r="B6" s="13" t="inlineStr">
        <is>
          <t>Jarret Kerman</t>
        </is>
      </c>
      <c r="C6" s="14" t="n">
        <v>10</v>
      </c>
      <c r="D6" s="13" t="inlineStr">
        <is>
          <t>Stripe</t>
        </is>
      </c>
      <c r="E6" s="14" t="n">
        <v>0.59</v>
      </c>
    </row>
    <row r="7">
      <c r="A7" s="13" t="inlineStr">
        <is>
          <t>Mar 25</t>
        </is>
      </c>
      <c r="B7" s="13" t="inlineStr">
        <is>
          <t>Brooke Jung</t>
        </is>
      </c>
      <c r="C7" s="14" t="n">
        <v>100</v>
      </c>
      <c r="D7" s="13" t="inlineStr">
        <is>
          <t>Stripe</t>
        </is>
      </c>
      <c r="E7" s="14" t="n">
        <v>3.2</v>
      </c>
    </row>
    <row r="8">
      <c r="A8" s="13" t="inlineStr">
        <is>
          <t>Mar 25</t>
        </is>
      </c>
      <c r="B8" s="13" t="inlineStr">
        <is>
          <t>Melanie Ringold</t>
        </is>
      </c>
      <c r="C8" s="14" t="n">
        <v>54</v>
      </c>
      <c r="D8" s="13" t="inlineStr">
        <is>
          <t>Stripe</t>
        </is>
      </c>
      <c r="E8" s="14" t="n">
        <v>1.87</v>
      </c>
    </row>
    <row r="9">
      <c r="A9" s="13" t="inlineStr">
        <is>
          <t>Mar 25</t>
        </is>
      </c>
      <c r="B9" s="13" t="inlineStr">
        <is>
          <t>Jarret Kerman</t>
        </is>
      </c>
      <c r="C9" s="14" t="n">
        <v>200</v>
      </c>
      <c r="D9" s="13" t="inlineStr">
        <is>
          <t>Stripe</t>
        </is>
      </c>
      <c r="E9" s="14" t="n">
        <v>6.1</v>
      </c>
    </row>
    <row r="10">
      <c r="A10" s="13" t="inlineStr">
        <is>
          <t>Mar 25</t>
        </is>
      </c>
      <c r="B10" s="13" t="inlineStr">
        <is>
          <t>Von Maur Foundation</t>
        </is>
      </c>
      <c r="C10" s="14" t="n">
        <v>250</v>
      </c>
      <c r="D10" s="13" t="inlineStr">
        <is>
          <t>Check</t>
        </is>
      </c>
      <c r="E10" s="14" t="n">
        <v>0</v>
      </c>
    </row>
    <row r="11">
      <c r="A11" s="13" t="inlineStr">
        <is>
          <t>Mar 25</t>
        </is>
      </c>
      <c r="B11" s="13" t="inlineStr">
        <is>
          <t>David Brown</t>
        </is>
      </c>
      <c r="C11" s="14" t="n">
        <v>100</v>
      </c>
      <c r="D11" s="13" t="inlineStr">
        <is>
          <t>Zelle</t>
        </is>
      </c>
      <c r="E11" s="14" t="n">
        <v>0</v>
      </c>
    </row>
    <row r="12">
      <c r="A12" s="13" t="inlineStr">
        <is>
          <t>Mar 25</t>
        </is>
      </c>
      <c r="B12" s="13" t="inlineStr">
        <is>
          <t>Craig Brown</t>
        </is>
      </c>
      <c r="C12" s="14" t="n">
        <v>50</v>
      </c>
      <c r="D12" s="13" t="inlineStr">
        <is>
          <t>Venmo</t>
        </is>
      </c>
      <c r="E12" s="14" t="n">
        <v>1.05</v>
      </c>
    </row>
    <row r="13">
      <c r="A13" s="8" t="n"/>
      <c r="B13" s="7" t="inlineStr">
        <is>
          <t>TOTAL</t>
        </is>
      </c>
      <c r="C13" s="9">
        <f>SUM(C5:C12)</f>
        <v/>
      </c>
      <c r="D13" s="8" t="n"/>
      <c r="E13" s="10">
        <f>SUM(E5:E12)</f>
        <v/>
      </c>
    </row>
    <row r="14">
      <c r="B14" s="15" t="inlineStr">
        <is>
          <t>Est. Fees</t>
        </is>
      </c>
      <c r="C14" s="16">
        <f>-E13</f>
        <v/>
      </c>
    </row>
    <row r="15">
      <c r="B15" s="17" t="inlineStr">
        <is>
          <t>Net Received</t>
        </is>
      </c>
      <c r="C15" s="18">
        <f>C13+C14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2" customWidth="1" min="5" max="5"/>
  </cols>
  <sheetData>
    <row r="1" ht="20" customHeight="1">
      <c r="A1" s="12" t="inlineStr">
        <is>
          <t>Tessa Forman — Camp Pontiac</t>
        </is>
      </c>
    </row>
    <row r="2">
      <c r="A2" s="2" t="inlineStr">
        <is>
          <t>Fees: Venmo 1.9%+$0.10  ·  Stripe 2.9%+$0.30  ·  Check/Zelle free</t>
        </is>
      </c>
    </row>
    <row r="4">
      <c r="A4" s="3" t="inlineStr">
        <is>
          <t>Date</t>
        </is>
      </c>
      <c r="B4" s="3" t="inlineStr">
        <is>
          <t>Donor</t>
        </is>
      </c>
      <c r="C4" s="3" t="inlineStr">
        <is>
          <t>Amount</t>
        </is>
      </c>
      <c r="D4" s="3" t="inlineStr">
        <is>
          <t>Platform</t>
        </is>
      </c>
      <c r="E4" s="3" t="inlineStr">
        <is>
          <t>Est. Fee</t>
        </is>
      </c>
    </row>
    <row r="5">
      <c r="A5" s="13" t="inlineStr">
        <is>
          <t>Mar 24</t>
        </is>
      </c>
      <c r="B5" s="13" t="inlineStr">
        <is>
          <t>Allison Slansky</t>
        </is>
      </c>
      <c r="C5" s="14" t="n">
        <v>25</v>
      </c>
      <c r="D5" s="13" t="inlineStr">
        <is>
          <t>Venmo</t>
        </is>
      </c>
      <c r="E5" s="14" t="n">
        <v>0.57</v>
      </c>
    </row>
    <row r="6">
      <c r="A6" s="13" t="inlineStr">
        <is>
          <t>Mar 24</t>
        </is>
      </c>
      <c r="B6" s="13" t="inlineStr">
        <is>
          <t>Annabelle Greenberg</t>
        </is>
      </c>
      <c r="C6" s="14" t="n">
        <v>15</v>
      </c>
      <c r="D6" s="13" t="inlineStr">
        <is>
          <t>Venmo</t>
        </is>
      </c>
      <c r="E6" s="14" t="n">
        <v>0.39</v>
      </c>
    </row>
    <row r="7">
      <c r="A7" s="13" t="inlineStr">
        <is>
          <t>Mar 24</t>
        </is>
      </c>
      <c r="B7" s="13" t="inlineStr">
        <is>
          <t>Joshua Henkel</t>
        </is>
      </c>
      <c r="C7" s="14" t="n">
        <v>36</v>
      </c>
      <c r="D7" s="13" t="inlineStr">
        <is>
          <t>Venmo</t>
        </is>
      </c>
      <c r="E7" s="14" t="n">
        <v>0.78</v>
      </c>
    </row>
    <row r="8">
      <c r="A8" s="13" t="inlineStr">
        <is>
          <t>Mar 24</t>
        </is>
      </c>
      <c r="B8" s="13" t="inlineStr">
        <is>
          <t>Jen Seiden</t>
        </is>
      </c>
      <c r="C8" s="14" t="n">
        <v>36</v>
      </c>
      <c r="D8" s="13" t="inlineStr">
        <is>
          <t>Venmo</t>
        </is>
      </c>
      <c r="E8" s="14" t="n">
        <v>0.78</v>
      </c>
    </row>
    <row r="9">
      <c r="A9" s="13" t="inlineStr">
        <is>
          <t>Mar 24</t>
        </is>
      </c>
      <c r="B9" s="13" t="inlineStr">
        <is>
          <t>Robyn Kreiner</t>
        </is>
      </c>
      <c r="C9" s="14" t="n">
        <v>36</v>
      </c>
      <c r="D9" s="13" t="inlineStr">
        <is>
          <t>Venmo</t>
        </is>
      </c>
      <c r="E9" s="14" t="n">
        <v>0.78</v>
      </c>
    </row>
    <row r="10">
      <c r="A10" s="13" t="inlineStr">
        <is>
          <t>Mar 24</t>
        </is>
      </c>
      <c r="B10" s="13" t="inlineStr">
        <is>
          <t>Erica Polavieja</t>
        </is>
      </c>
      <c r="C10" s="14" t="n">
        <v>50</v>
      </c>
      <c r="D10" s="13" t="inlineStr">
        <is>
          <t>Venmo</t>
        </is>
      </c>
      <c r="E10" s="14" t="n">
        <v>1.05</v>
      </c>
    </row>
    <row r="11">
      <c r="A11" s="13" t="inlineStr">
        <is>
          <t>Mar 24</t>
        </is>
      </c>
      <c r="B11" s="13" t="inlineStr">
        <is>
          <t>Marissa Drogin</t>
        </is>
      </c>
      <c r="C11" s="14" t="n">
        <v>25</v>
      </c>
      <c r="D11" s="13" t="inlineStr">
        <is>
          <t>Venmo</t>
        </is>
      </c>
      <c r="E11" s="14" t="n">
        <v>0.57</v>
      </c>
    </row>
    <row r="12">
      <c r="A12" s="13" t="inlineStr">
        <is>
          <t>Mar 24</t>
        </is>
      </c>
      <c r="B12" s="13" t="inlineStr">
        <is>
          <t>Cori Zummo</t>
        </is>
      </c>
      <c r="C12" s="14" t="n">
        <v>25</v>
      </c>
      <c r="D12" s="13" t="inlineStr">
        <is>
          <t>Venmo</t>
        </is>
      </c>
      <c r="E12" s="14" t="n">
        <v>0.57</v>
      </c>
    </row>
    <row r="13">
      <c r="A13" s="13" t="inlineStr">
        <is>
          <t>Mar 24</t>
        </is>
      </c>
      <c r="B13" s="13" t="inlineStr">
        <is>
          <t>Lindsey Schnepper</t>
        </is>
      </c>
      <c r="C13" s="14" t="n">
        <v>100</v>
      </c>
      <c r="D13" s="13" t="inlineStr">
        <is>
          <t>Venmo</t>
        </is>
      </c>
      <c r="E13" s="14" t="n">
        <v>2</v>
      </c>
    </row>
    <row r="14">
      <c r="A14" s="13" t="inlineStr">
        <is>
          <t>Mar 24</t>
        </is>
      </c>
      <c r="B14" s="13" t="inlineStr">
        <is>
          <t>Christine Schwartz</t>
        </is>
      </c>
      <c r="C14" s="14" t="n">
        <v>50</v>
      </c>
      <c r="D14" s="13" t="inlineStr">
        <is>
          <t>Stripe</t>
        </is>
      </c>
      <c r="E14" s="14" t="n">
        <v>1.75</v>
      </c>
    </row>
    <row r="15">
      <c r="A15" s="13" t="inlineStr">
        <is>
          <t>Mar 24</t>
        </is>
      </c>
      <c r="B15" s="13" t="inlineStr">
        <is>
          <t>sarimskier@gmail.com</t>
        </is>
      </c>
      <c r="C15" s="14" t="n">
        <v>25</v>
      </c>
      <c r="D15" s="13" t="inlineStr">
        <is>
          <t>Stripe</t>
        </is>
      </c>
      <c r="E15" s="14" t="n">
        <v>1.03</v>
      </c>
    </row>
    <row r="16">
      <c r="A16" s="13" t="inlineStr">
        <is>
          <t>Mar 25</t>
        </is>
      </c>
      <c r="B16" s="13" t="inlineStr">
        <is>
          <t>Jen Schwartz</t>
        </is>
      </c>
      <c r="C16" s="14" t="n">
        <v>100</v>
      </c>
      <c r="D16" s="13" t="inlineStr">
        <is>
          <t>Venmo</t>
        </is>
      </c>
      <c r="E16" s="14" t="n">
        <v>2</v>
      </c>
    </row>
    <row r="17">
      <c r="A17" s="13" t="inlineStr">
        <is>
          <t>Mar 25</t>
        </is>
      </c>
      <c r="B17" s="13" t="inlineStr">
        <is>
          <t>Tracy Paley</t>
        </is>
      </c>
      <c r="C17" s="14" t="n">
        <v>50</v>
      </c>
      <c r="D17" s="13" t="inlineStr">
        <is>
          <t>Stripe</t>
        </is>
      </c>
      <c r="E17" s="14" t="n">
        <v>1.75</v>
      </c>
    </row>
    <row r="18">
      <c r="A18" s="13" t="inlineStr">
        <is>
          <t>Mar 25</t>
        </is>
      </c>
      <c r="B18" s="13" t="inlineStr">
        <is>
          <t>masetheace728@icloud.com</t>
        </is>
      </c>
      <c r="C18" s="14" t="n">
        <v>5</v>
      </c>
      <c r="D18" s="13" t="inlineStr">
        <is>
          <t>Stripe</t>
        </is>
      </c>
      <c r="E18" s="14" t="n">
        <v>0.45</v>
      </c>
    </row>
    <row r="19">
      <c r="A19" s="13" t="inlineStr">
        <is>
          <t>Mar 25</t>
        </is>
      </c>
      <c r="B19" s="13" t="inlineStr">
        <is>
          <t>Stage to Screen</t>
        </is>
      </c>
      <c r="C19" s="14" t="n">
        <v>250</v>
      </c>
      <c r="D19" s="13" t="inlineStr">
        <is>
          <t>Check</t>
        </is>
      </c>
      <c r="E19" s="14" t="n">
        <v>0</v>
      </c>
    </row>
    <row r="20">
      <c r="A20" s="13" t="inlineStr">
        <is>
          <t>Mar 25</t>
        </is>
      </c>
      <c r="B20" s="13" t="inlineStr">
        <is>
          <t>Rose</t>
        </is>
      </c>
      <c r="C20" s="14" t="n">
        <v>100</v>
      </c>
      <c r="D20" s="13" t="inlineStr">
        <is>
          <t>Check</t>
        </is>
      </c>
      <c r="E20" s="14" t="n">
        <v>0</v>
      </c>
    </row>
    <row r="21">
      <c r="A21" s="13" t="inlineStr">
        <is>
          <t>Mar 25</t>
        </is>
      </c>
      <c r="B21" s="13" t="inlineStr">
        <is>
          <t>Rose</t>
        </is>
      </c>
      <c r="C21" s="14" t="n">
        <v>100</v>
      </c>
      <c r="D21" s="13" t="inlineStr">
        <is>
          <t>Check</t>
        </is>
      </c>
      <c r="E21" s="14" t="n">
        <v>0</v>
      </c>
    </row>
    <row r="22">
      <c r="A22" s="8" t="n"/>
      <c r="B22" s="7" t="inlineStr">
        <is>
          <t>TOTAL</t>
        </is>
      </c>
      <c r="C22" s="9">
        <f>SUM(C5:C21)</f>
        <v/>
      </c>
      <c r="D22" s="8" t="n"/>
      <c r="E22" s="10">
        <f>SUM(E5:E21)</f>
        <v/>
      </c>
    </row>
    <row r="23">
      <c r="B23" s="15" t="inlineStr">
        <is>
          <t>Est. Fees</t>
        </is>
      </c>
      <c r="C23" s="16">
        <f>-E22</f>
        <v/>
      </c>
    </row>
    <row r="24">
      <c r="B24" s="17" t="inlineStr">
        <is>
          <t>Net Received</t>
        </is>
      </c>
      <c r="C24" s="18">
        <f>C22+C23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2" customWidth="1" min="5" max="5"/>
  </cols>
  <sheetData>
    <row r="1" ht="20" customHeight="1">
      <c r="A1" s="12" t="inlineStr">
        <is>
          <t>Ben &amp; Jack — Camp Wah-Nee</t>
        </is>
      </c>
    </row>
    <row r="2">
      <c r="A2" s="2" t="inlineStr">
        <is>
          <t>Fees: Venmo 1.9%+$0.10  ·  Stripe 2.9%+$0.30  ·  Check/Zelle free</t>
        </is>
      </c>
    </row>
    <row r="3"/>
    <row r="4">
      <c r="A4" s="3" t="inlineStr">
        <is>
          <t>Date</t>
        </is>
      </c>
      <c r="B4" s="3" t="inlineStr">
        <is>
          <t>Donor</t>
        </is>
      </c>
      <c r="C4" s="3" t="inlineStr">
        <is>
          <t>Amount</t>
        </is>
      </c>
      <c r="D4" s="3" t="inlineStr">
        <is>
          <t>Platform</t>
        </is>
      </c>
      <c r="E4" s="3" t="inlineStr">
        <is>
          <t>Est. Fee</t>
        </is>
      </c>
    </row>
    <row r="5">
      <c r="A5" s="13" t="inlineStr">
        <is>
          <t>Mar 25</t>
        </is>
      </c>
      <c r="B5" s="13" t="inlineStr">
        <is>
          <t>Jayson Siano</t>
        </is>
      </c>
      <c r="C5" s="14" t="n">
        <v>200</v>
      </c>
      <c r="D5" s="13" t="inlineStr">
        <is>
          <t>Stripe</t>
        </is>
      </c>
      <c r="E5" s="14" t="n">
        <v>6.1</v>
      </c>
    </row>
    <row r="6">
      <c r="A6" s="13" t="inlineStr">
        <is>
          <t>Mar 25</t>
        </is>
      </c>
      <c r="B6" s="13" t="inlineStr">
        <is>
          <t>Jessica Zipkin</t>
        </is>
      </c>
      <c r="C6" s="14" t="n">
        <v>150</v>
      </c>
      <c r="D6" s="13" t="inlineStr">
        <is>
          <t>Venmo</t>
        </is>
      </c>
      <c r="E6" s="14" t="n">
        <v>2.95</v>
      </c>
    </row>
    <row r="7">
      <c r="A7" s="13" t="inlineStr">
        <is>
          <t>Mar 25</t>
        </is>
      </c>
      <c r="B7" s="13" t="inlineStr">
        <is>
          <t>Stephanie Barilan</t>
        </is>
      </c>
      <c r="C7" s="14" t="n">
        <v>150</v>
      </c>
      <c r="D7" s="13" t="inlineStr">
        <is>
          <t>Venmo</t>
        </is>
      </c>
      <c r="E7" s="14" t="n">
        <v>2.95</v>
      </c>
    </row>
    <row r="8">
      <c r="A8" s="13" t="inlineStr">
        <is>
          <t>Mar 25</t>
        </is>
      </c>
      <c r="B8" s="13" t="inlineStr">
        <is>
          <t>Evane Klein</t>
        </is>
      </c>
      <c r="C8" s="14" t="n">
        <v>100</v>
      </c>
      <c r="D8" s="13" t="inlineStr">
        <is>
          <t>Venmo</t>
        </is>
      </c>
      <c r="E8" s="14" t="n">
        <v>2</v>
      </c>
    </row>
    <row r="9">
      <c r="A9" s="13" t="inlineStr">
        <is>
          <t>Mar 25</t>
        </is>
      </c>
      <c r="B9" s="13" t="inlineStr">
        <is>
          <t>Dana Block</t>
        </is>
      </c>
      <c r="C9" s="14" t="n">
        <v>100</v>
      </c>
      <c r="D9" s="13" t="inlineStr">
        <is>
          <t>Venmo</t>
        </is>
      </c>
      <c r="E9" s="14" t="n">
        <v>2</v>
      </c>
    </row>
    <row r="10">
      <c r="A10" s="13" t="inlineStr">
        <is>
          <t>Mar 25</t>
        </is>
      </c>
      <c r="B10" s="13" t="inlineStr">
        <is>
          <t>Jessica Goldstein</t>
        </is>
      </c>
      <c r="C10" s="14" t="n">
        <v>50</v>
      </c>
      <c r="D10" s="13" t="inlineStr">
        <is>
          <t>Venmo</t>
        </is>
      </c>
      <c r="E10" s="14" t="n">
        <v>1.05</v>
      </c>
    </row>
    <row r="11">
      <c r="A11" s="13" t="inlineStr">
        <is>
          <t>Mar 25</t>
        </is>
      </c>
      <c r="B11" s="13" t="inlineStr">
        <is>
          <t>Jessica Greenwald</t>
        </is>
      </c>
      <c r="C11" s="14" t="n">
        <v>50</v>
      </c>
      <c r="D11" s="13" t="inlineStr">
        <is>
          <t>Venmo</t>
        </is>
      </c>
      <c r="E11" s="14" t="n">
        <v>1.05</v>
      </c>
    </row>
    <row r="12">
      <c r="A12" s="13" t="inlineStr">
        <is>
          <t>Mar 25</t>
        </is>
      </c>
      <c r="B12" s="13" t="inlineStr">
        <is>
          <t>Jaclyn Vida</t>
        </is>
      </c>
      <c r="C12" s="14" t="n">
        <v>50</v>
      </c>
      <c r="D12" s="13" t="inlineStr">
        <is>
          <t>Venmo</t>
        </is>
      </c>
      <c r="E12" s="14" t="n">
        <v>1.05</v>
      </c>
    </row>
    <row r="13">
      <c r="A13" s="13" t="inlineStr">
        <is>
          <t>Mar 25</t>
        </is>
      </c>
      <c r="B13" s="13" t="inlineStr">
        <is>
          <t>Alyse Stern</t>
        </is>
      </c>
      <c r="C13" s="14" t="n">
        <v>50</v>
      </c>
      <c r="D13" s="13" t="inlineStr">
        <is>
          <t>Venmo</t>
        </is>
      </c>
      <c r="E13" s="14" t="n">
        <v>1.05</v>
      </c>
    </row>
    <row r="14">
      <c r="A14" s="13" t="inlineStr">
        <is>
          <t>Mar 25</t>
        </is>
      </c>
      <c r="B14" s="13" t="inlineStr">
        <is>
          <t>ali horowitz</t>
        </is>
      </c>
      <c r="C14" s="14" t="n">
        <v>50</v>
      </c>
      <c r="D14" s="13" t="inlineStr">
        <is>
          <t>Venmo</t>
        </is>
      </c>
      <c r="E14" s="14" t="n">
        <v>1.05</v>
      </c>
    </row>
    <row r="15">
      <c r="A15" s="13" t="inlineStr">
        <is>
          <t>Mar 25</t>
        </is>
      </c>
      <c r="B15" s="13" t="inlineStr">
        <is>
          <t>Dina Goldberg</t>
        </is>
      </c>
      <c r="C15" s="14" t="n">
        <v>50</v>
      </c>
      <c r="D15" s="13" t="inlineStr">
        <is>
          <t>Venmo</t>
        </is>
      </c>
      <c r="E15" s="14" t="n">
        <v>1.05</v>
      </c>
    </row>
    <row r="16">
      <c r="A16" s="13" t="inlineStr">
        <is>
          <t>Mar 25</t>
        </is>
      </c>
      <c r="B16" s="13" t="inlineStr">
        <is>
          <t>Liz Beler</t>
        </is>
      </c>
      <c r="C16" s="14" t="n">
        <v>40</v>
      </c>
      <c r="D16" s="13" t="inlineStr">
        <is>
          <t>Venmo</t>
        </is>
      </c>
      <c r="E16" s="14" t="n">
        <v>0.86</v>
      </c>
    </row>
    <row r="17">
      <c r="A17" s="13" t="inlineStr">
        <is>
          <t>Mar 25</t>
        </is>
      </c>
      <c r="B17" s="13" t="inlineStr">
        <is>
          <t>Elizabeth Zorn</t>
        </is>
      </c>
      <c r="C17" s="14" t="n">
        <v>25</v>
      </c>
      <c r="D17" s="13" t="inlineStr">
        <is>
          <t>Venmo</t>
        </is>
      </c>
      <c r="E17" s="14" t="n">
        <v>0.57</v>
      </c>
    </row>
    <row r="18">
      <c r="A18" s="13" t="inlineStr">
        <is>
          <t>Mar 25</t>
        </is>
      </c>
      <c r="B18" s="13" t="inlineStr">
        <is>
          <t>Michael Jacobson</t>
        </is>
      </c>
      <c r="C18" s="14" t="n">
        <v>25</v>
      </c>
      <c r="D18" s="13" t="inlineStr">
        <is>
          <t>Venmo</t>
        </is>
      </c>
      <c r="E18" s="14" t="n">
        <v>0.57</v>
      </c>
    </row>
    <row r="19">
      <c r="A19" s="13" t="inlineStr">
        <is>
          <t>Mar 25</t>
        </is>
      </c>
      <c r="B19" s="13" t="inlineStr">
        <is>
          <t>Erica Oliver</t>
        </is>
      </c>
      <c r="C19" s="14" t="n">
        <v>25</v>
      </c>
      <c r="D19" s="13" t="inlineStr">
        <is>
          <t>Venmo</t>
        </is>
      </c>
      <c r="E19" s="14" t="n">
        <v>0.57</v>
      </c>
    </row>
    <row r="20">
      <c r="A20" s="13" t="inlineStr">
        <is>
          <t>Mar 25</t>
        </is>
      </c>
      <c r="B20" s="13" t="inlineStr">
        <is>
          <t>Robyn Sachnoff</t>
        </is>
      </c>
      <c r="C20" s="14" t="n">
        <v>25</v>
      </c>
      <c r="D20" s="13" t="inlineStr">
        <is>
          <t>Venmo</t>
        </is>
      </c>
      <c r="E20" s="14" t="n">
        <v>0.57</v>
      </c>
    </row>
    <row r="21">
      <c r="A21" s="13" t="inlineStr">
        <is>
          <t>Mar 25</t>
        </is>
      </c>
      <c r="B21" s="13" t="inlineStr">
        <is>
          <t>Jennifer Brogadir</t>
        </is>
      </c>
      <c r="C21" s="14" t="n">
        <v>20</v>
      </c>
      <c r="D21" s="13" t="inlineStr">
        <is>
          <t>Venmo</t>
        </is>
      </c>
      <c r="E21" s="14" t="n">
        <v>0.48</v>
      </c>
    </row>
    <row r="22">
      <c r="A22" s="13" t="inlineStr">
        <is>
          <t>Mar 25</t>
        </is>
      </c>
      <c r="B22" s="13" t="inlineStr">
        <is>
          <t>Ellen Jacobson</t>
        </is>
      </c>
      <c r="C22" s="14" t="n">
        <v>25</v>
      </c>
      <c r="D22" s="13" t="inlineStr">
        <is>
          <t>Venmo</t>
        </is>
      </c>
      <c r="E22" s="14" t="n">
        <v>0.57</v>
      </c>
    </row>
    <row r="23">
      <c r="A23" s="13" t="inlineStr">
        <is>
          <t>Mar 25</t>
        </is>
      </c>
      <c r="B23" s="13" t="inlineStr">
        <is>
          <t>Joey Stella</t>
        </is>
      </c>
      <c r="C23" s="14" t="n">
        <v>200</v>
      </c>
      <c r="D23" s="13" t="inlineStr">
        <is>
          <t>Venmo</t>
        </is>
      </c>
      <c r="E23" s="14" t="n">
        <v>3.9</v>
      </c>
    </row>
    <row r="24">
      <c r="A24" s="13" t="inlineStr">
        <is>
          <t>Mar 25</t>
        </is>
      </c>
      <c r="B24" s="13" t="inlineStr">
        <is>
          <t>Carrie Grochow</t>
        </is>
      </c>
      <c r="C24" s="14" t="n">
        <v>100</v>
      </c>
      <c r="D24" s="13" t="inlineStr">
        <is>
          <t>Venmo</t>
        </is>
      </c>
      <c r="E24" s="14" t="n">
        <v>2</v>
      </c>
    </row>
    <row r="25">
      <c r="A25" s="13" t="inlineStr">
        <is>
          <t>Mar 25</t>
        </is>
      </c>
      <c r="B25" s="13" t="inlineStr">
        <is>
          <t>Rebecca Brogadir</t>
        </is>
      </c>
      <c r="C25" s="14" t="n">
        <v>100</v>
      </c>
      <c r="D25" s="13" t="inlineStr">
        <is>
          <t>Venmo</t>
        </is>
      </c>
      <c r="E25" s="14" t="n">
        <v>2</v>
      </c>
    </row>
    <row r="26">
      <c r="A26" s="13" t="inlineStr">
        <is>
          <t>Mar 25</t>
        </is>
      </c>
      <c r="B26" s="13" t="inlineStr">
        <is>
          <t>Alison Enis</t>
        </is>
      </c>
      <c r="C26" s="14" t="n">
        <v>20</v>
      </c>
      <c r="D26" s="13" t="inlineStr">
        <is>
          <t>Venmo</t>
        </is>
      </c>
      <c r="E26" s="14" t="n">
        <v>0.48</v>
      </c>
    </row>
    <row r="27">
      <c r="A27" s="13" t="inlineStr">
        <is>
          <t>Mar 25</t>
        </is>
      </c>
      <c r="B27" s="13" t="inlineStr">
        <is>
          <t>Stacey Selenfriend</t>
        </is>
      </c>
      <c r="C27" s="14" t="n">
        <v>15</v>
      </c>
      <c r="D27" s="13" t="inlineStr">
        <is>
          <t>Venmo</t>
        </is>
      </c>
      <c r="E27" s="14" t="n">
        <v>0.39</v>
      </c>
    </row>
    <row r="28">
      <c r="A28" s="8" t="n"/>
      <c r="B28" s="7" t="inlineStr">
        <is>
          <t>TOTAL</t>
        </is>
      </c>
      <c r="C28" s="9">
        <f>SUM(C5:C25)</f>
        <v/>
      </c>
      <c r="D28" s="8" t="n"/>
      <c r="E28" s="10">
        <f>SUM(E5:E25)</f>
        <v/>
      </c>
    </row>
    <row r="29">
      <c r="B29" s="15" t="inlineStr">
        <is>
          <t>Est. Fees</t>
        </is>
      </c>
      <c r="C29" s="16">
        <f>-E26</f>
        <v/>
      </c>
    </row>
    <row r="30">
      <c r="B30" s="17" t="inlineStr">
        <is>
          <t>Net Received</t>
        </is>
      </c>
      <c r="C30" s="18">
        <f>C26+C27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2" customWidth="1" min="5" max="5"/>
  </cols>
  <sheetData>
    <row r="1" ht="20" customHeight="1">
      <c r="A1" s="12" t="inlineStr">
        <is>
          <t>Jordana Brody — Camp Westmont</t>
        </is>
      </c>
    </row>
    <row r="2">
      <c r="A2" s="2" t="inlineStr">
        <is>
          <t>Fees: Venmo 1.9%+$0.10  ·  Stripe 2.9%+$0.30  ·  Check/Zelle free</t>
        </is>
      </c>
    </row>
    <row r="4">
      <c r="A4" s="3" t="inlineStr">
        <is>
          <t>Date</t>
        </is>
      </c>
      <c r="B4" s="3" t="inlineStr">
        <is>
          <t>Donor</t>
        </is>
      </c>
      <c r="C4" s="3" t="inlineStr">
        <is>
          <t>Amount</t>
        </is>
      </c>
      <c r="D4" s="3" t="inlineStr">
        <is>
          <t>Platform</t>
        </is>
      </c>
      <c r="E4" s="3" t="inlineStr">
        <is>
          <t>Est. Fee</t>
        </is>
      </c>
    </row>
    <row r="5">
      <c r="A5" s="13" t="inlineStr">
        <is>
          <t>Mar 24</t>
        </is>
      </c>
      <c r="B5" s="13" t="inlineStr">
        <is>
          <t>Evan Krakauer</t>
        </is>
      </c>
      <c r="C5" s="14" t="n">
        <v>25</v>
      </c>
      <c r="D5" s="13" t="inlineStr">
        <is>
          <t>Venmo</t>
        </is>
      </c>
      <c r="E5" s="14" t="n">
        <v>0.57</v>
      </c>
    </row>
    <row r="6">
      <c r="A6" s="13" t="inlineStr">
        <is>
          <t>Mar 25</t>
        </is>
      </c>
      <c r="B6" s="13" t="inlineStr">
        <is>
          <t>hallie polsky</t>
        </is>
      </c>
      <c r="C6" s="14" t="n">
        <v>36</v>
      </c>
      <c r="D6" s="13" t="inlineStr">
        <is>
          <t>Venmo</t>
        </is>
      </c>
      <c r="E6" s="14" t="n">
        <v>0.78</v>
      </c>
    </row>
    <row r="7">
      <c r="A7" s="13" t="inlineStr">
        <is>
          <t>Mar 25</t>
        </is>
      </c>
      <c r="B7" s="13" t="inlineStr">
        <is>
          <t>Alexa Scalzi</t>
        </is>
      </c>
      <c r="C7" s="14" t="n">
        <v>30</v>
      </c>
      <c r="D7" s="13" t="inlineStr">
        <is>
          <t>Venmo</t>
        </is>
      </c>
      <c r="E7" s="14" t="n">
        <v>0.67</v>
      </c>
    </row>
    <row r="8">
      <c r="A8" s="13" t="inlineStr">
        <is>
          <t>Mar 25</t>
        </is>
      </c>
      <c r="B8" s="13" t="inlineStr">
        <is>
          <t>Jaimee Manger</t>
        </is>
      </c>
      <c r="C8" s="14" t="n">
        <v>20</v>
      </c>
      <c r="D8" s="13" t="inlineStr">
        <is>
          <t>Venmo</t>
        </is>
      </c>
      <c r="E8" s="14" t="n">
        <v>0.48</v>
      </c>
    </row>
    <row r="9">
      <c r="A9" s="13" t="inlineStr">
        <is>
          <t>Mar 25</t>
        </is>
      </c>
      <c r="B9" s="13" t="inlineStr">
        <is>
          <t>Karen Ganz</t>
        </is>
      </c>
      <c r="C9" s="14" t="n">
        <v>18</v>
      </c>
      <c r="D9" s="13" t="inlineStr">
        <is>
          <t>Venmo</t>
        </is>
      </c>
      <c r="E9" s="14" t="n">
        <v>0.44</v>
      </c>
    </row>
    <row r="10">
      <c r="A10" s="13" t="inlineStr">
        <is>
          <t>Mar 25</t>
        </is>
      </c>
      <c r="B10" s="13" t="inlineStr">
        <is>
          <t>Debbi Kauffman</t>
        </is>
      </c>
      <c r="C10" s="14" t="n">
        <v>100</v>
      </c>
      <c r="D10" s="13" t="inlineStr">
        <is>
          <t>Venmo</t>
        </is>
      </c>
      <c r="E10" s="14" t="n">
        <v>2</v>
      </c>
    </row>
    <row r="11">
      <c r="A11" s="13" t="inlineStr">
        <is>
          <t>Mar 25</t>
        </is>
      </c>
      <c r="B11" s="13" t="inlineStr">
        <is>
          <t>Jan Mirman</t>
        </is>
      </c>
      <c r="C11" s="14" t="n">
        <v>50</v>
      </c>
      <c r="D11" s="13" t="inlineStr">
        <is>
          <t>Venmo</t>
        </is>
      </c>
      <c r="E11" s="14" t="n">
        <v>1.05</v>
      </c>
    </row>
    <row r="12">
      <c r="A12" s="13" t="inlineStr">
        <is>
          <t>Mar 25</t>
        </is>
      </c>
      <c r="B12" s="13" t="inlineStr">
        <is>
          <t>Beth Brody</t>
        </is>
      </c>
      <c r="C12" s="14" t="n">
        <v>100</v>
      </c>
      <c r="D12" s="13" t="inlineStr">
        <is>
          <t>Venmo</t>
        </is>
      </c>
      <c r="E12" s="14" t="n">
        <v>2</v>
      </c>
    </row>
    <row r="13">
      <c r="A13" s="13" t="inlineStr">
        <is>
          <t>Mar 25</t>
        </is>
      </c>
      <c r="B13" s="13" t="inlineStr">
        <is>
          <t>Steve Kreinik</t>
        </is>
      </c>
      <c r="C13" s="14" t="n">
        <v>250</v>
      </c>
      <c r="D13" s="13" t="inlineStr">
        <is>
          <t>Zelle</t>
        </is>
      </c>
      <c r="E13" s="14" t="n">
        <v>0</v>
      </c>
    </row>
    <row r="14">
      <c r="A14" s="13" t="inlineStr">
        <is>
          <t>Mar 25</t>
        </is>
      </c>
      <c r="B14" s="13" t="inlineStr">
        <is>
          <t>Eileen Linde</t>
        </is>
      </c>
      <c r="C14" s="14" t="n">
        <v>100</v>
      </c>
      <c r="D14" s="13" t="inlineStr">
        <is>
          <t>Venmo</t>
        </is>
      </c>
      <c r="E14" s="14" t="n">
        <v>2</v>
      </c>
    </row>
    <row r="15">
      <c r="A15" s="8" t="n"/>
      <c r="B15" s="7" t="inlineStr">
        <is>
          <t>TOTAL</t>
        </is>
      </c>
      <c r="C15" s="9">
        <f>SUM(C5:C14)</f>
        <v/>
      </c>
      <c r="D15" s="8" t="n"/>
      <c r="E15" s="10">
        <f>SUM(E5:E14)</f>
        <v/>
      </c>
    </row>
    <row r="16">
      <c r="B16" s="15" t="inlineStr">
        <is>
          <t>Est. Fees</t>
        </is>
      </c>
      <c r="C16" s="16">
        <f>-E15</f>
        <v/>
      </c>
    </row>
    <row r="17">
      <c r="B17" s="17" t="inlineStr">
        <is>
          <t>Net Received</t>
        </is>
      </c>
      <c r="C17" s="18">
        <f>C15+C16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2" customWidth="1" min="5" max="5"/>
  </cols>
  <sheetData>
    <row r="1" ht="20" customHeight="1">
      <c r="A1" s="12" t="inlineStr">
        <is>
          <t>Parker Wellen — Camp Pontiac</t>
        </is>
      </c>
    </row>
    <row r="2">
      <c r="A2" s="2" t="inlineStr">
        <is>
          <t>Fees: Venmo 1.9%+$0.10  ·  Stripe 2.9%+$0.30  ·  Check/Zelle free</t>
        </is>
      </c>
    </row>
    <row r="4">
      <c r="A4" s="3" t="inlineStr">
        <is>
          <t>Date</t>
        </is>
      </c>
      <c r="B4" s="3" t="inlineStr">
        <is>
          <t>Donor</t>
        </is>
      </c>
      <c r="C4" s="3" t="inlineStr">
        <is>
          <t>Amount</t>
        </is>
      </c>
      <c r="D4" s="3" t="inlineStr">
        <is>
          <t>Platform</t>
        </is>
      </c>
      <c r="E4" s="3" t="inlineStr">
        <is>
          <t>Est. Fee</t>
        </is>
      </c>
    </row>
    <row r="5">
      <c r="A5" s="13" t="inlineStr">
        <is>
          <t>Mar 25</t>
        </is>
      </c>
      <c r="B5" s="13" t="inlineStr">
        <is>
          <t>Jason Hornig</t>
        </is>
      </c>
      <c r="C5" s="14" t="n">
        <v>25</v>
      </c>
      <c r="D5" s="13" t="inlineStr">
        <is>
          <t>Venmo</t>
        </is>
      </c>
      <c r="E5" s="14" t="n">
        <v>0.57</v>
      </c>
    </row>
    <row r="6">
      <c r="A6" s="13" t="inlineStr">
        <is>
          <t>Mar 25</t>
        </is>
      </c>
      <c r="B6" s="13" t="inlineStr">
        <is>
          <t>Meredith Wellen</t>
        </is>
      </c>
      <c r="C6" s="14" t="n">
        <v>36</v>
      </c>
      <c r="D6" s="13" t="inlineStr">
        <is>
          <t>Venmo</t>
        </is>
      </c>
      <c r="E6" s="14" t="n">
        <v>0.78</v>
      </c>
    </row>
    <row r="7">
      <c r="A7" s="13" t="inlineStr">
        <is>
          <t>Mar 25</t>
        </is>
      </c>
      <c r="B7" s="13" t="inlineStr">
        <is>
          <t>Meredith Wellen</t>
        </is>
      </c>
      <c r="C7" s="14" t="n">
        <v>50</v>
      </c>
      <c r="D7" s="13" t="inlineStr">
        <is>
          <t>Venmo</t>
        </is>
      </c>
      <c r="E7" s="14" t="n">
        <v>1.05</v>
      </c>
    </row>
    <row r="8">
      <c r="A8" s="13" t="inlineStr">
        <is>
          <t>Mar 25</t>
        </is>
      </c>
      <c r="B8" s="13" t="inlineStr">
        <is>
          <t>Lindsay Koonin</t>
        </is>
      </c>
      <c r="C8" s="14" t="n">
        <v>118</v>
      </c>
      <c r="D8" s="13" t="inlineStr">
        <is>
          <t>Venmo</t>
        </is>
      </c>
      <c r="E8" s="14" t="n">
        <v>2.34</v>
      </c>
    </row>
    <row r="9">
      <c r="A9" s="8" t="n"/>
      <c r="B9" s="7" t="inlineStr">
        <is>
          <t>TOTAL</t>
        </is>
      </c>
      <c r="C9" s="9">
        <f>SUM(C5:C8)</f>
        <v/>
      </c>
      <c r="D9" s="8" t="n"/>
      <c r="E9" s="10">
        <f>SUM(E5:E8)</f>
        <v/>
      </c>
    </row>
    <row r="10">
      <c r="B10" s="15" t="inlineStr">
        <is>
          <t>Est. Fees</t>
        </is>
      </c>
      <c r="C10" s="16">
        <f>-E9</f>
        <v/>
      </c>
    </row>
    <row r="11">
      <c r="B11" s="17" t="inlineStr">
        <is>
          <t>Net Received</t>
        </is>
      </c>
      <c r="C11" s="18">
        <f>C9+C10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2026-03-26T02:31:12Z</dcterms:created>
  <dcterms:modified xmlns:dcterms="http://purl.org/dc/terms/" xmlns:xsi="http://www.w3.org/2001/XMLSchema-instance" xsi:type="dcterms:W3CDTF">2026-03-26T02:41:13Z</dcterms:modified>
</cp:coreProperties>
</file>